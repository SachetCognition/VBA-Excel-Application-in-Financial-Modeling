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tFrontier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0%"/>
  </numFmts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Calibri"/>
      <b val="1"/>
      <color rgb="00FFFFFF"/>
      <sz val="11"/>
    </font>
    <font>
      <b val="1"/>
      <sz val="11"/>
    </font>
    <font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F3460"/>
        <bgColor rgb="000F34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Efficient Frontier</a:t>
            </a:r>
          </a:p>
        </rich>
      </tx>
    </title>
    <plotArea>
      <scatterChart>
        <ser>
          <idx val="0"/>
          <order val="0"/>
          <tx>
            <v>Frontier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Standard Deviation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Expected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Sharpe Ratio vs Weight</a:t>
            </a:r>
          </a:p>
        </rich>
      </tx>
    </title>
    <plotArea>
      <lineChart>
        <grouping val="standard"/>
        <ser>
          <idx val="0"/>
          <order val="0"/>
          <tx>
            <strRef>
              <f>'EfficientFrontier'!F3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'EfficientFrontier'!$A$4:$A$47</f>
            </numRef>
          </cat>
          <val>
            <numRef>
              <f>'EfficientFrontier'!$F$4:$F$47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w(Asset 1)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Portfolio Weights: MVP vs ORP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'Metrics'!B32</f>
            </strRef>
          </tx>
          <spPr>
            <a:ln>
              <a:prstDash val="solid"/>
            </a:ln>
          </spPr>
          <cat>
            <numRef>
              <f>'Metrics'!$A$33:$A$34</f>
            </numRef>
          </cat>
          <val>
            <numRef>
              <f>'Metrics'!$B$33:$B$34</f>
            </numRef>
          </val>
        </ser>
        <ser>
          <idx val="1"/>
          <order val="1"/>
          <tx>
            <strRef>
              <f>'Metrics'!C32</f>
            </strRef>
          </tx>
          <spPr>
            <a:ln>
              <a:prstDash val="solid"/>
            </a:ln>
          </spPr>
          <cat>
            <numRef>
              <f>'Metrics'!$A$33:$A$34</f>
            </numRef>
          </cat>
          <val>
            <numRef>
              <f>'Metrics'!$C$33:$C$34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Efficient Frontier — 44 Points</t>
        </is>
      </c>
    </row>
    <row r="3">
      <c r="A3" s="2" t="inlineStr">
        <is>
          <t>w(Asset1)</t>
        </is>
      </c>
      <c r="B3" s="2" t="inlineStr">
        <is>
          <t>w(Asset2)</t>
        </is>
      </c>
      <c r="C3" s="2" t="inlineStr">
        <is>
          <t>Return</t>
        </is>
      </c>
      <c r="D3" s="2" t="inlineStr">
        <is>
          <t>StdDev</t>
        </is>
      </c>
      <c r="E3" s="2" t="inlineStr">
        <is>
          <t>Variance</t>
        </is>
      </c>
      <c r="F3" s="2" t="inlineStr">
        <is>
          <t>Sharpe</t>
        </is>
      </c>
    </row>
    <row r="4">
      <c r="A4" s="3" t="n">
        <v>-0.5</v>
      </c>
      <c r="B4" s="3" t="n">
        <v>1.5</v>
      </c>
      <c r="C4" s="4" t="n">
        <v>0.1001107606450643</v>
      </c>
      <c r="D4" s="4" t="n">
        <v>0.3404409386313778</v>
      </c>
      <c r="E4" s="4" t="n">
        <v>0.1159000326962135</v>
      </c>
      <c r="F4" s="3" t="n">
        <v>0.2149645317832186</v>
      </c>
    </row>
    <row r="5">
      <c r="A5" s="3" t="n">
        <v>-0.4534883720930233</v>
      </c>
      <c r="B5" s="3" t="n">
        <v>1.453488372093023</v>
      </c>
      <c r="C5" s="4" t="n">
        <v>0.09680339771805892</v>
      </c>
      <c r="D5" s="4" t="n">
        <v>0.3295963385928481</v>
      </c>
      <c r="E5" s="4" t="n">
        <v>0.1086337464138114</v>
      </c>
      <c r="F5" s="3" t="n">
        <v>0.2120028527745436</v>
      </c>
    </row>
    <row r="6">
      <c r="A6" s="3" t="n">
        <v>-0.4069767441860465</v>
      </c>
      <c r="B6" s="3" t="n">
        <v>1.406976744186047</v>
      </c>
      <c r="C6" s="4" t="n">
        <v>0.09349603479105355</v>
      </c>
      <c r="D6" s="4" t="n">
        <v>0.3188267378311278</v>
      </c>
      <c r="E6" s="4" t="n">
        <v>0.1016504887560387</v>
      </c>
      <c r="F6" s="3" t="n">
        <v>0.2087905223117822</v>
      </c>
    </row>
    <row r="7">
      <c r="A7" s="3" t="n">
        <v>-0.3604651162790697</v>
      </c>
      <c r="B7" s="3" t="n">
        <v>1.36046511627907</v>
      </c>
      <c r="C7" s="4" t="n">
        <v>0.09018867186404816</v>
      </c>
      <c r="D7" s="4" t="n">
        <v>0.3081400001994148</v>
      </c>
      <c r="E7" s="4" t="n">
        <v>0.09495025972289534</v>
      </c>
      <c r="F7" s="3" t="n">
        <v>0.2052983648691437</v>
      </c>
    </row>
    <row r="8">
      <c r="A8" s="3" t="n">
        <v>-0.313953488372093</v>
      </c>
      <c r="B8" s="3" t="n">
        <v>1.313953488372093</v>
      </c>
      <c r="C8" s="4" t="n">
        <v>0.08688130893704279</v>
      </c>
      <c r="D8" s="4" t="n">
        <v>0.2975450542596556</v>
      </c>
      <c r="E8" s="4" t="n">
        <v>0.08853305931438135</v>
      </c>
      <c r="F8" s="3" t="n">
        <v>0.2014930996379234</v>
      </c>
    </row>
    <row r="9">
      <c r="A9" s="3" t="n">
        <v>-0.2674418604651163</v>
      </c>
      <c r="B9" s="3" t="n">
        <v>1.267441860465116</v>
      </c>
      <c r="C9" s="4" t="n">
        <v>0.0835739460100374</v>
      </c>
      <c r="D9" s="4" t="n">
        <v>0.2870520641460303</v>
      </c>
      <c r="E9" s="4" t="n">
        <v>0.08239888753049669</v>
      </c>
      <c r="F9" s="3" t="n">
        <v>0.1973367183623161</v>
      </c>
    </row>
    <row r="10">
      <c r="A10" s="3" t="n">
        <v>-0.2209302325581395</v>
      </c>
      <c r="B10" s="3" t="n">
        <v>1.220930232558139</v>
      </c>
      <c r="C10" s="4" t="n">
        <v>0.08026658308303201</v>
      </c>
      <c r="D10" s="4" t="n">
        <v>0.2766726303255191</v>
      </c>
      <c r="E10" s="4" t="n">
        <v>0.07654774437124139</v>
      </c>
      <c r="F10" s="3" t="n">
        <v>0.1927857820556585</v>
      </c>
    </row>
    <row r="11">
      <c r="A11" s="3" t="n">
        <v>-0.1744186046511628</v>
      </c>
      <c r="B11" s="3" t="n">
        <v>1.174418604651163</v>
      </c>
      <c r="C11" s="4" t="n">
        <v>0.07695922015602663</v>
      </c>
      <c r="D11" s="4" t="n">
        <v>0.2664200252169785</v>
      </c>
      <c r="E11" s="4" t="n">
        <v>0.07097962983661545</v>
      </c>
      <c r="F11" s="3" t="n">
        <v>0.1877906378957415</v>
      </c>
    </row>
    <row r="12">
      <c r="A12" s="3" t="n">
        <v>-0.1279069767441861</v>
      </c>
      <c r="B12" s="3" t="n">
        <v>1.127906976744186</v>
      </c>
      <c r="C12" s="4" t="n">
        <v>0.07365185722902126</v>
      </c>
      <c r="D12" s="4" t="n">
        <v>0.2563094690537571</v>
      </c>
      <c r="E12" s="4" t="n">
        <v>0.06569454392661889</v>
      </c>
      <c r="F12" s="3" t="n">
        <v>0.1822945665222026</v>
      </c>
    </row>
    <row r="13">
      <c r="A13" s="3" t="n">
        <v>-0.08139534883720934</v>
      </c>
      <c r="B13" s="3" t="n">
        <v>1.081395348837209</v>
      </c>
      <c r="C13" s="4" t="n">
        <v>0.07034449430201589</v>
      </c>
      <c r="D13" s="4" t="n">
        <v>0.246358451532014</v>
      </c>
      <c r="E13" s="4" t="n">
        <v>0.06069248664125169</v>
      </c>
      <c r="F13" s="3" t="n">
        <v>0.1762328848866111</v>
      </c>
    </row>
    <row r="14">
      <c r="A14" s="3" t="n">
        <v>-0.03488372093023256</v>
      </c>
      <c r="B14" s="3" t="n">
        <v>1.034883720930233</v>
      </c>
      <c r="C14" s="4" t="n">
        <v>0.06703713137501049</v>
      </c>
      <c r="D14" s="4" t="n">
        <v>0.2365871044256509</v>
      </c>
      <c r="E14" s="4" t="n">
        <v>0.05597345798051383</v>
      </c>
      <c r="F14" s="3" t="n">
        <v>0.169532053744224</v>
      </c>
    </row>
    <row r="15">
      <c r="A15" s="3" t="n">
        <v>0.01162790697674421</v>
      </c>
      <c r="B15" s="3" t="n">
        <v>0.9883720930232558</v>
      </c>
      <c r="C15" s="4" t="n">
        <v>0.06372976844800511</v>
      </c>
      <c r="D15" s="4" t="n">
        <v>0.2270186290690818</v>
      </c>
      <c r="E15" s="4" t="n">
        <v>0.05153745794440533</v>
      </c>
      <c r="F15" s="3" t="n">
        <v>0.1621088759393205</v>
      </c>
    </row>
    <row r="16">
      <c r="A16" s="3" t="n">
        <v>0.05813953488372092</v>
      </c>
      <c r="B16" s="3" t="n">
        <v>0.9418604651162791</v>
      </c>
      <c r="C16" s="4" t="n">
        <v>0.06042240552099973</v>
      </c>
      <c r="D16" s="4" t="n">
        <v>0.217679779798047</v>
      </c>
      <c r="E16" s="4" t="n">
        <v>0.04738448653292621</v>
      </c>
      <c r="F16" s="3" t="n">
        <v>0.1538699270999976</v>
      </c>
    </row>
    <row r="17">
      <c r="A17" s="3" t="n">
        <v>0.1046511627906976</v>
      </c>
      <c r="B17" s="3" t="n">
        <v>0.8953488372093024</v>
      </c>
      <c r="C17" s="4" t="n">
        <v>0.05711504259399436</v>
      </c>
      <c r="D17" s="4" t="n">
        <v>0.2086013991949154</v>
      </c>
      <c r="E17" s="4" t="n">
        <v>0.04351454374607643</v>
      </c>
      <c r="F17" s="3" t="n">
        <v>0.1447114402787738</v>
      </c>
    </row>
    <row r="18">
      <c r="A18" s="3" t="n">
        <v>0.1511627906976745</v>
      </c>
      <c r="B18" s="3" t="n">
        <v>0.8488372093023255</v>
      </c>
      <c r="C18" s="4" t="n">
        <v>0.05380767966698897</v>
      </c>
      <c r="D18" s="4" t="n">
        <v>0.1998189920499451</v>
      </c>
      <c r="E18" s="4" t="n">
        <v>0.03992762958385601</v>
      </c>
      <c r="F18" s="3" t="n">
        <v>0.1345199758986856</v>
      </c>
    </row>
    <row r="19">
      <c r="A19" s="3" t="n">
        <v>0.1976744186046512</v>
      </c>
      <c r="B19" s="3" t="n">
        <v>0.8023255813953488</v>
      </c>
      <c r="C19" s="4" t="n">
        <v>0.05050031673998359</v>
      </c>
      <c r="D19" s="4" t="n">
        <v>0.1913733106947386</v>
      </c>
      <c r="E19" s="4" t="n">
        <v>0.03662374404626496</v>
      </c>
      <c r="F19" s="3" t="n">
        <v>0.1231743495583522</v>
      </c>
    </row>
    <row r="20">
      <c r="A20" s="3" t="n">
        <v>0.2441860465116279</v>
      </c>
      <c r="B20" s="3" t="n">
        <v>0.7558139534883721</v>
      </c>
      <c r="C20" s="4" t="n">
        <v>0.04719295381297821</v>
      </c>
      <c r="D20" s="4" t="n">
        <v>0.1833109029307948</v>
      </c>
      <c r="E20" s="4" t="n">
        <v>0.03360288713330327</v>
      </c>
      <c r="F20" s="3" t="n">
        <v>0.1105494535057639</v>
      </c>
    </row>
    <row r="21">
      <c r="A21" s="3" t="n">
        <v>0.2906976744186046</v>
      </c>
      <c r="B21" s="3" t="n">
        <v>0.7093023255813954</v>
      </c>
      <c r="C21" s="4" t="n">
        <v>0.04388559088597283</v>
      </c>
      <c r="D21" s="4" t="n">
        <v>0.175684543557397</v>
      </c>
      <c r="E21" s="4" t="n">
        <v>0.03086505884497093</v>
      </c>
      <c r="F21" s="3" t="n">
        <v>0.09652276102537161</v>
      </c>
    </row>
    <row r="22">
      <c r="A22" s="3" t="n">
        <v>0.3372093023255813</v>
      </c>
      <c r="B22" s="3" t="n">
        <v>0.6627906976744187</v>
      </c>
      <c r="C22" s="4" t="n">
        <v>0.04057822795896746</v>
      </c>
      <c r="D22" s="4" t="n">
        <v>0.1685534312355224</v>
      </c>
      <c r="E22" s="4" t="n">
        <v>0.02841025918126796</v>
      </c>
      <c r="F22" s="3" t="n">
        <v>0.08098437502327149</v>
      </c>
    </row>
    <row r="23">
      <c r="A23" s="3" t="n">
        <v>0.3837209302325582</v>
      </c>
      <c r="B23" s="3" t="n">
        <v>0.6162790697674418</v>
      </c>
      <c r="C23" s="4" t="n">
        <v>0.03727086503196207</v>
      </c>
      <c r="D23" s="4" t="n">
        <v>0.1619829871998734</v>
      </c>
      <c r="E23" s="4" t="n">
        <v>0.02623848814219434</v>
      </c>
      <c r="F23" s="3" t="n">
        <v>0.06385134351713845</v>
      </c>
    </row>
    <row r="24">
      <c r="A24" s="3" t="n">
        <v>0.4302325581395349</v>
      </c>
      <c r="B24" s="3" t="n">
        <v>0.5697674418604651</v>
      </c>
      <c r="C24" s="4" t="n">
        <v>0.03396350210495669</v>
      </c>
      <c r="D24" s="4" t="n">
        <v>0.1560440506003035</v>
      </c>
      <c r="E24" s="4" t="n">
        <v>0.02434974572775009</v>
      </c>
      <c r="F24" s="3" t="n">
        <v>0.04508642531106081</v>
      </c>
    </row>
    <row r="25">
      <c r="A25" s="3" t="n">
        <v>0.4767441860465116</v>
      </c>
      <c r="B25" s="3" t="n">
        <v>0.5232558139534884</v>
      </c>
      <c r="C25" s="4" t="n">
        <v>0.03065613917795131</v>
      </c>
      <c r="D25" s="4" t="n">
        <v>0.150811246059222</v>
      </c>
      <c r="E25" s="4" t="n">
        <v>0.02274403193793519</v>
      </c>
      <c r="F25" s="3" t="n">
        <v>0.02472034150660497</v>
      </c>
    </row>
    <row r="26">
      <c r="A26" s="3" t="n">
        <v>0.5232558139534884</v>
      </c>
      <c r="B26" s="3" t="n">
        <v>0.4767441860465116</v>
      </c>
      <c r="C26" s="4" t="n">
        <v>0.02734877625094592</v>
      </c>
      <c r="D26" s="4" t="n">
        <v>0.1463603319644693</v>
      </c>
      <c r="E26" s="4" t="n">
        <v>0.02142134677274965</v>
      </c>
      <c r="F26" s="3" t="n">
        <v>0.002874703637030215</v>
      </c>
    </row>
    <row r="27">
      <c r="A27" s="3" t="n">
        <v>0.569767441860465</v>
      </c>
      <c r="B27" s="3" t="n">
        <v>0.430232558139535</v>
      </c>
      <c r="C27" s="4" t="n">
        <v>0.02404141332394055</v>
      </c>
      <c r="D27" s="4" t="n">
        <v>0.1427644571740231</v>
      </c>
      <c r="E27" s="4" t="n">
        <v>0.02038169023219348</v>
      </c>
      <c r="F27" s="3" t="n">
        <v>-0.02021946082050035</v>
      </c>
    </row>
    <row r="28">
      <c r="A28" s="3" t="n">
        <v>0.6162790697674418</v>
      </c>
      <c r="B28" s="3" t="n">
        <v>0.3837209302325582</v>
      </c>
      <c r="C28" s="4" t="n">
        <v>0.02073405039693516</v>
      </c>
      <c r="D28" s="4" t="n">
        <v>0.1400894796773357</v>
      </c>
      <c r="E28" s="4" t="n">
        <v>0.01962506231626666</v>
      </c>
      <c r="F28" s="3" t="n">
        <v>-0.04421447841523846</v>
      </c>
    </row>
    <row r="29">
      <c r="A29" s="3" t="n">
        <v>0.6627906976744187</v>
      </c>
      <c r="B29" s="3" t="n">
        <v>0.3372093023255813</v>
      </c>
      <c r="C29" s="4" t="n">
        <v>0.01742668746992978</v>
      </c>
      <c r="D29" s="4" t="n">
        <v>0.1383888110541066</v>
      </c>
      <c r="E29" s="4" t="n">
        <v>0.0191514630249692</v>
      </c>
      <c r="F29" s="3" t="n">
        <v>-0.06865689595877911</v>
      </c>
    </row>
    <row r="30">
      <c r="A30" s="3" t="n">
        <v>0.7093023255813953</v>
      </c>
      <c r="B30" s="3" t="n">
        <v>0.2906976744186047</v>
      </c>
      <c r="C30" s="4" t="n">
        <v>0.0141193245429244</v>
      </c>
      <c r="D30" s="4" t="n">
        <v>0.1376985561227899</v>
      </c>
      <c r="E30" s="4" t="n">
        <v>0.01896089235830111</v>
      </c>
      <c r="F30" s="3" t="n">
        <v>-0.09301992330249564</v>
      </c>
    </row>
    <row r="31">
      <c r="A31" s="3" t="n">
        <v>0.7558139534883721</v>
      </c>
      <c r="B31" s="3" t="n">
        <v>0.2441860465116279</v>
      </c>
      <c r="C31" s="4" t="n">
        <v>0.01081196161591902</v>
      </c>
      <c r="D31" s="4" t="n">
        <v>0.1380338738001016</v>
      </c>
      <c r="E31" s="4" t="n">
        <v>0.01905335031626237</v>
      </c>
      <c r="F31" s="3" t="n">
        <v>-0.11675447202004</v>
      </c>
    </row>
    <row r="32">
      <c r="A32" s="3" t="n">
        <v>0.8023255813953489</v>
      </c>
      <c r="B32" s="3" t="n">
        <v>0.1976744186046511</v>
      </c>
      <c r="C32" s="4" t="n">
        <v>0.00750459868891363</v>
      </c>
      <c r="D32" s="4" t="n">
        <v>0.1393873627659731</v>
      </c>
      <c r="E32" s="4" t="n">
        <v>0.01942883689885299</v>
      </c>
      <c r="F32" s="3" t="n">
        <v>-0.1393486080659149</v>
      </c>
    </row>
    <row r="33">
      <c r="A33" s="3" t="n">
        <v>0.8488372093023255</v>
      </c>
      <c r="B33" s="3" t="n">
        <v>0.1511627906976745</v>
      </c>
      <c r="C33" s="4" t="n">
        <v>0.004197235761908258</v>
      </c>
      <c r="D33" s="4" t="n">
        <v>0.1417298560856991</v>
      </c>
      <c r="E33" s="4" t="n">
        <v>0.02008735210607297</v>
      </c>
      <c r="F33" s="3" t="n">
        <v>-0.1603811542479655</v>
      </c>
    </row>
    <row r="34">
      <c r="A34" s="3" t="n">
        <v>0.8953488372093024</v>
      </c>
      <c r="B34" s="3" t="n">
        <v>0.1046511627906976</v>
      </c>
      <c r="C34" s="4" t="n">
        <v>0.0008898728349028715</v>
      </c>
      <c r="D34" s="4" t="n">
        <v>0.1450134336464119</v>
      </c>
      <c r="E34" s="4" t="n">
        <v>0.02102889593792231</v>
      </c>
      <c r="F34" s="3" t="n">
        <v>-0.1795568878185245</v>
      </c>
    </row>
    <row r="35">
      <c r="A35" s="3" t="n">
        <v>0.941860465116279</v>
      </c>
      <c r="B35" s="3" t="n">
        <v>0.05813953488372103</v>
      </c>
      <c r="C35" s="4" t="n">
        <v>-0.0024174900921025</v>
      </c>
      <c r="D35" s="4" t="n">
        <v>0.149175964533168</v>
      </c>
      <c r="E35" s="4" t="n">
        <v>0.022253468394401</v>
      </c>
      <c r="F35" s="3" t="n">
        <v>-0.1967175064446021</v>
      </c>
    </row>
    <row r="36">
      <c r="A36" s="3" t="n">
        <v>0.9883720930232558</v>
      </c>
      <c r="B36" s="3" t="n">
        <v>0.01162790697674421</v>
      </c>
      <c r="C36" s="4" t="n">
        <v>-0.005724853019107887</v>
      </c>
      <c r="D36" s="4" t="n">
        <v>0.1541462600114225</v>
      </c>
      <c r="E36" s="4" t="n">
        <v>0.02376106947550907</v>
      </c>
      <c r="F36" s="3" t="n">
        <v>-0.2118305477474378</v>
      </c>
    </row>
    <row r="37">
      <c r="A37" s="3" t="n">
        <v>1.034883720930233</v>
      </c>
      <c r="B37" s="3" t="n">
        <v>-0.03488372093023262</v>
      </c>
      <c r="C37" s="4" t="n">
        <v>-0.009032215946113274</v>
      </c>
      <c r="D37" s="4" t="n">
        <v>0.1598489886775843</v>
      </c>
      <c r="E37" s="4" t="n">
        <v>0.02555169918124649</v>
      </c>
      <c r="F37" s="3" t="n">
        <v>-0.2249638857019975</v>
      </c>
    </row>
    <row r="38">
      <c r="A38" s="3" t="n">
        <v>1.081395348837209</v>
      </c>
      <c r="B38" s="3" t="n">
        <v>-0.08139534883720922</v>
      </c>
      <c r="C38" s="4" t="n">
        <v>-0.01233957887311865</v>
      </c>
      <c r="D38" s="4" t="n">
        <v>0.1662087768790002</v>
      </c>
      <c r="E38" s="4" t="n">
        <v>0.02762535751161326</v>
      </c>
      <c r="F38" s="3" t="n">
        <v>-0.2362547470885736</v>
      </c>
    </row>
    <row r="39">
      <c r="A39" s="3" t="n">
        <v>1.127906976744186</v>
      </c>
      <c r="B39" s="3" t="n">
        <v>-0.1279069767441861</v>
      </c>
      <c r="C39" s="4" t="n">
        <v>-0.01564694180012403</v>
      </c>
      <c r="D39" s="4" t="n">
        <v>0.1731532398386164</v>
      </c>
      <c r="E39" s="4" t="n">
        <v>0.02998204446660941</v>
      </c>
      <c r="F39" s="3" t="n">
        <v>-0.2458803283850524</v>
      </c>
    </row>
    <row r="40">
      <c r="A40" s="3" t="n">
        <v>1.174418604651163</v>
      </c>
      <c r="B40" s="3" t="n">
        <v>-0.1744186046511627</v>
      </c>
      <c r="C40" s="4" t="n">
        <v>-0.0189543047271294</v>
      </c>
      <c r="D40" s="4" t="n">
        <v>0.1806149496753657</v>
      </c>
      <c r="E40" s="4" t="n">
        <v>0.03262176004623489</v>
      </c>
      <c r="F40" s="3" t="n">
        <v>-0.2540340015149812</v>
      </c>
    </row>
    <row r="41">
      <c r="A41" s="3" t="n">
        <v>1.220930232558139</v>
      </c>
      <c r="B41" s="3" t="n">
        <v>-0.2209302325581395</v>
      </c>
      <c r="C41" s="4" t="n">
        <v>-0.02226166765413479</v>
      </c>
      <c r="D41" s="4" t="n">
        <v>0.1885325018411673</v>
      </c>
      <c r="E41" s="4" t="n">
        <v>0.03554450425048975</v>
      </c>
      <c r="F41" s="3" t="n">
        <v>-0.2609083359425542</v>
      </c>
    </row>
    <row r="42">
      <c r="A42" s="3" t="n">
        <v>1.267441860465116</v>
      </c>
      <c r="B42" s="3" t="n">
        <v>-0.2674418604651163</v>
      </c>
      <c r="C42" s="4" t="n">
        <v>-0.02556903058114018</v>
      </c>
      <c r="D42" s="4" t="n">
        <v>0.1968509006313509</v>
      </c>
      <c r="E42" s="4" t="n">
        <v>0.03875027707937397</v>
      </c>
      <c r="F42" s="3" t="n">
        <v>-0.2666843996400294</v>
      </c>
    </row>
    <row r="43">
      <c r="A43" s="3" t="n">
        <v>1.313953488372093</v>
      </c>
      <c r="B43" s="3" t="n">
        <v>-0.3139534883720929</v>
      </c>
      <c r="C43" s="4" t="n">
        <v>-0.02887639350814555</v>
      </c>
      <c r="D43" s="4" t="n">
        <v>0.2055214794927468</v>
      </c>
      <c r="E43" s="4" t="n">
        <v>0.04223907853288754</v>
      </c>
      <c r="F43" s="3" t="n">
        <v>-0.2715260094380825</v>
      </c>
    </row>
    <row r="44">
      <c r="A44" s="3" t="n">
        <v>1.36046511627907</v>
      </c>
      <c r="B44" s="3" t="n">
        <v>-0.3604651162790697</v>
      </c>
      <c r="C44" s="4" t="n">
        <v>-0.03218375643515094</v>
      </c>
      <c r="D44" s="4" t="n">
        <v>0.2145015352183534</v>
      </c>
      <c r="E44" s="4" t="n">
        <v>0.04601090861103048</v>
      </c>
      <c r="F44" s="3" t="n">
        <v>-0.2755774686988062</v>
      </c>
    </row>
    <row r="45">
      <c r="A45" s="3" t="n">
        <v>1.406976744186047</v>
      </c>
      <c r="B45" s="3" t="n">
        <v>-0.4069767441860466</v>
      </c>
      <c r="C45" s="4" t="n">
        <v>-0.03549111936215632</v>
      </c>
      <c r="D45" s="4" t="n">
        <v>0.2237538096073512</v>
      </c>
      <c r="E45" s="4" t="n">
        <v>0.05006576731380278</v>
      </c>
      <c r="F45" s="3" t="n">
        <v>-0.2789635320355963</v>
      </c>
    </row>
    <row r="46">
      <c r="A46" s="3" t="n">
        <v>1.453488372093023</v>
      </c>
      <c r="B46" s="3" t="n">
        <v>-0.4534883720930232</v>
      </c>
      <c r="C46" s="4" t="n">
        <v>-0.0387984822891617</v>
      </c>
      <c r="D46" s="4" t="n">
        <v>0.2332459102346801</v>
      </c>
      <c r="E46" s="4" t="n">
        <v>0.05440365464120443</v>
      </c>
      <c r="F46" s="3" t="n">
        <v>-0.2817906470272587</v>
      </c>
    </row>
    <row r="47">
      <c r="A47" s="3" t="n">
        <v>1.5</v>
      </c>
      <c r="B47" s="3" t="n">
        <v>-0.5</v>
      </c>
      <c r="C47" s="4" t="n">
        <v>-0.04210584521616708</v>
      </c>
      <c r="D47" s="4" t="n">
        <v>0.2429497285308947</v>
      </c>
      <c r="E47" s="4" t="n">
        <v>0.05902457059323545</v>
      </c>
      <c r="F47" s="3" t="n">
        <v>-0.2841488208525373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Portfolio Analysis — Key Metrics</t>
        </is>
      </c>
    </row>
    <row r="3">
      <c r="A3" s="5" t="inlineStr">
        <is>
          <t>Asset 1 Expected Return</t>
        </is>
      </c>
      <c r="B3" s="6" t="n">
        <v>-0.006551693750859233</v>
      </c>
    </row>
    <row r="4">
      <c r="A4" s="5" t="inlineStr">
        <is>
          <t>Asset 2 Expected Return</t>
        </is>
      </c>
      <c r="B4" s="6" t="n">
        <v>0.06455660917975646</v>
      </c>
    </row>
    <row r="5">
      <c r="A5" s="5" t="inlineStr">
        <is>
          <t>Risk-Free Rate</t>
        </is>
      </c>
      <c r="B5" s="6" t="n">
        <v>0.02692803367233071</v>
      </c>
    </row>
    <row r="6">
      <c r="A6" s="5" t="inlineStr"/>
    </row>
    <row r="7">
      <c r="A7" s="5" t="inlineStr">
        <is>
          <t>MVP Weight (Asset 1)</t>
        </is>
      </c>
      <c r="B7" s="7" t="n">
        <v>0.7173640221788579</v>
      </c>
    </row>
    <row r="8">
      <c r="A8" s="5" t="inlineStr">
        <is>
          <t>MVP Weight (Asset 2)</t>
        </is>
      </c>
      <c r="B8" s="7" t="n">
        <v>0.2826359778211421</v>
      </c>
    </row>
    <row r="9">
      <c r="A9" s="5" t="inlineStr">
        <is>
          <t>MVP Return</t>
        </is>
      </c>
      <c r="B9" s="6" t="n">
        <v>0.01354607097913732</v>
      </c>
    </row>
    <row r="10">
      <c r="A10" s="5" t="inlineStr">
        <is>
          <t>MVP Std Dev</t>
        </is>
      </c>
      <c r="B10" s="6" t="n">
        <v>0.1376831179766337</v>
      </c>
    </row>
    <row r="11">
      <c r="A11" s="5" t="inlineStr"/>
    </row>
    <row r="12">
      <c r="A12" s="5" t="inlineStr">
        <is>
          <t>ORP Weight (Asset 1)</t>
        </is>
      </c>
      <c r="B12" s="7" t="n">
        <v>2.257235940014806</v>
      </c>
    </row>
    <row r="13">
      <c r="A13" s="5" t="inlineStr">
        <is>
          <t>ORP Weight (Asset 2)</t>
        </is>
      </c>
      <c r="B13" s="7" t="n">
        <v>-1.257235940014806</v>
      </c>
    </row>
    <row r="14">
      <c r="A14" s="5" t="inlineStr">
        <is>
          <t>ORP Return</t>
        </is>
      </c>
      <c r="B14" s="6" t="n">
        <v>-0.09595160782868942</v>
      </c>
    </row>
    <row r="15">
      <c r="A15" s="5" t="inlineStr">
        <is>
          <t>ORP Std Dev</t>
        </is>
      </c>
      <c r="B15" s="6" t="n">
        <v>0.4172158058246481</v>
      </c>
    </row>
    <row r="16">
      <c r="A16" s="5" t="inlineStr">
        <is>
          <t>ORP Sharpe</t>
        </is>
      </c>
      <c r="B16" s="7" t="n">
        <v>-0.2945229777624132</v>
      </c>
    </row>
    <row r="20">
      <c r="A20" s="8" t="inlineStr">
        <is>
          <t>Variance-Covariance Matrix (Annualized)</t>
        </is>
      </c>
    </row>
    <row r="21">
      <c r="B21" s="9" t="inlineStr">
        <is>
          <t>Asset 1</t>
        </is>
      </c>
      <c r="C21" s="9" t="inlineStr">
        <is>
          <t>Asset 2</t>
        </is>
      </c>
    </row>
    <row r="22">
      <c r="A22" s="10" t="inlineStr">
        <is>
          <t>Asset 1</t>
        </is>
      </c>
      <c r="B22" s="11" t="n">
        <v>0.02418219296838442</v>
      </c>
      <c r="C22" s="11" t="n">
        <v>0.005693563060398571</v>
      </c>
    </row>
    <row r="23">
      <c r="A23" s="10" t="inlineStr">
        <is>
          <t>Asset 2</t>
        </is>
      </c>
      <c r="B23" s="11" t="n">
        <v>0.005693563060398571</v>
      </c>
      <c r="C23" s="11" t="n">
        <v>0.05261992401987346</v>
      </c>
    </row>
    <row r="26">
      <c r="A26" s="8" t="inlineStr">
        <is>
          <t>Correlation Matrix</t>
        </is>
      </c>
    </row>
    <row r="27">
      <c r="B27" s="9" t="inlineStr">
        <is>
          <t>Asset 1</t>
        </is>
      </c>
      <c r="C27" s="9" t="inlineStr">
        <is>
          <t>Asset 2</t>
        </is>
      </c>
    </row>
    <row r="28">
      <c r="A28" s="10" t="inlineStr">
        <is>
          <t>Asset 1</t>
        </is>
      </c>
      <c r="B28" s="11" t="n">
        <v>1</v>
      </c>
      <c r="C28" s="11" t="n">
        <v>0.159610399861796</v>
      </c>
    </row>
    <row r="29">
      <c r="A29" s="10" t="inlineStr">
        <is>
          <t>Asset 2</t>
        </is>
      </c>
      <c r="B29" s="11" t="n">
        <v>0.159610399861796</v>
      </c>
      <c r="C29" s="11" t="n">
        <v>0.9999999999999998</v>
      </c>
    </row>
    <row r="32">
      <c r="A32" s="10" t="inlineStr">
        <is>
          <t>Portfolio</t>
        </is>
      </c>
      <c r="B32" s="9" t="inlineStr">
        <is>
          <t>Asset 1</t>
        </is>
      </c>
      <c r="C32" s="9" t="inlineStr">
        <is>
          <t>Asset 2</t>
        </is>
      </c>
    </row>
    <row r="33">
      <c r="A33" t="inlineStr">
        <is>
          <t>MVP</t>
        </is>
      </c>
      <c r="B33" s="12" t="n">
        <v>0.7173640221788579</v>
      </c>
      <c r="C33" s="12" t="n">
        <v>0.2826359778211421</v>
      </c>
    </row>
    <row r="34">
      <c r="A34" t="inlineStr">
        <is>
          <t>ORP</t>
        </is>
      </c>
      <c r="B34" s="12" t="n">
        <v>2.257235940014806</v>
      </c>
      <c r="C34" s="12" t="n">
        <v>-1.257235940014806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2026-05-29T00:47:43Z</dcterms:created>
  <dcterms:modified xsi:type="dcterms:W3CDTF">2026-05-29T00:47:43Z</dcterms:modified>
</cp:coreProperties>
</file>